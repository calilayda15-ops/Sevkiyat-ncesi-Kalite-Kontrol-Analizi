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544389E7-7410-F144-92FE-C70D8B127B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<sst xmlns="http://schemas.openxmlformats.org/spreadsheetml/2006/main" count="116" uniqueCount="63">
  <si>
    <t>Koli_ID</t>
  </si>
  <si>
    <t>Üretim_Hattı</t>
  </si>
  <si>
    <t>Ağırlık (KG)</t>
  </si>
  <si>
    <t>Nem_Oranı (%)</t>
  </si>
  <si>
    <t>Etiket_Kontrol</t>
  </si>
  <si>
    <t>Hasar_Durumu</t>
  </si>
  <si>
    <t>K-001</t>
  </si>
  <si>
    <t>K-002</t>
  </si>
  <si>
    <t>K-003</t>
  </si>
  <si>
    <t>K-004</t>
  </si>
  <si>
    <t>K-005</t>
  </si>
  <si>
    <t>K-006</t>
  </si>
  <si>
    <t>K-007</t>
  </si>
  <si>
    <t>K-008</t>
  </si>
  <si>
    <t>K-009</t>
  </si>
  <si>
    <t>K-010</t>
  </si>
  <si>
    <t>K-011</t>
  </si>
  <si>
    <t>K-012</t>
  </si>
  <si>
    <t>K-013</t>
  </si>
  <si>
    <t>K-014</t>
  </si>
  <si>
    <t>K-015</t>
  </si>
  <si>
    <t>K-016</t>
  </si>
  <si>
    <t>K-017</t>
  </si>
  <si>
    <t>K-018</t>
  </si>
  <si>
    <t>Hat_A</t>
  </si>
  <si>
    <t>Hat_B</t>
  </si>
  <si>
    <t>Hat_C</t>
  </si>
  <si>
    <t>5.05 KG</t>
  </si>
  <si>
    <t>4.98 KG</t>
  </si>
  <si>
    <t>6.03 KG</t>
  </si>
  <si>
    <t>1.56 KG</t>
  </si>
  <si>
    <t>2.45 KG</t>
  </si>
  <si>
    <t>5.06 KG</t>
  </si>
  <si>
    <t>4.08 KG</t>
  </si>
  <si>
    <t>5.5 KG</t>
  </si>
  <si>
    <t>2.05 KG</t>
  </si>
  <si>
    <t>5.98 KG</t>
  </si>
  <si>
    <t>6.66 KG</t>
  </si>
  <si>
    <t>3.05 KG</t>
  </si>
  <si>
    <t>6.06 KG</t>
  </si>
  <si>
    <t>5.02 KG</t>
  </si>
  <si>
    <t>5.03 KG</t>
  </si>
  <si>
    <t>5.01 KG</t>
  </si>
  <si>
    <t>8.00 KG</t>
  </si>
  <si>
    <t>12.1 %</t>
  </si>
  <si>
    <t>11.1 %</t>
  </si>
  <si>
    <t>14.7 %</t>
  </si>
  <si>
    <t>12.0 %</t>
  </si>
  <si>
    <t>12.9 %</t>
  </si>
  <si>
    <t>12.1%</t>
  </si>
  <si>
    <t>13.3%</t>
  </si>
  <si>
    <t>16.1%</t>
  </si>
  <si>
    <t>14.8%</t>
  </si>
  <si>
    <t>12.3%</t>
  </si>
  <si>
    <t>16.6%</t>
  </si>
  <si>
    <t>13.2%</t>
  </si>
  <si>
    <t>Tamam</t>
  </si>
  <si>
    <t xml:space="preserve">Tamam </t>
  </si>
  <si>
    <t>Hatalı</t>
  </si>
  <si>
    <t>Yok</t>
  </si>
  <si>
    <t>Var</t>
  </si>
  <si>
    <t xml:space="preserve">Rastgele </t>
  </si>
  <si>
    <t>Etiket_skor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</si>
</sst>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2" borderId="0" xfId="0" applyFill="1"/>
    <xf numFmtId="16" fontId="0" fillId="2" borderId="0" xfId="0" applyNumberForma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B043-B2BF-F749-87ED-42FA5B95B2E2}">
  <dimension ref="A1:H20"/>
  <sheetViews>
    <sheetView tabSelected="1" zoomScaleNormal="80" zoomScaleSheetLayoutView="100" workbookViewId="0">
      <selection activeCell="J12" sqref="J12"/>
    </sheetView>
  </sheetViews>
  <sheetFormatPr defaultRowHeight="15" x14ac:dyDescent="0.2"/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61</v>
      </c>
      <c r="H1" s="5" t="s">
        <v>62</v>
      </c>
    </row>
    <row r="2" spans="1:8" x14ac:dyDescent="0.2">
      <c r="A2" s="3" t="s">
        <v>6</v>
      </c>
      <c r="B2" s="3" t="s">
        <v>24</v>
      </c>
      <c r="C2" s="4" t="s">
        <v>27</v>
      </c>
      <c r="D2" s="3" t="s">
        <v>44</v>
      </c>
      <c r="E2" s="3" t="s">
        <v>56</v>
      </c>
      <c r="F2" s="3" t="s">
        <v>59</v>
      </c>
      <c r="G2" s="3">
        <f ca="1">RAND()</f>
        <v>0.95748763568330642</v>
      </c>
      <c r="H2">
        <f>IF(TRIM(E2)="Tamam", 1, 0)</f>
        <v>1</v>
      </c>
    </row>
    <row r="3" spans="1:8" x14ac:dyDescent="0.2">
      <c r="A3" s="3" t="s">
        <v>7</v>
      </c>
      <c r="B3" s="3" t="s">
        <v>25</v>
      </c>
      <c r="C3" s="3" t="s">
        <v>28</v>
      </c>
      <c r="D3" s="3" t="s">
        <v>45</v>
      </c>
      <c r="E3" s="3" t="s">
        <v>57</v>
      </c>
      <c r="F3" s="3" t="s">
        <v>59</v>
      </c>
      <c r="G3" s="3">
        <f t="shared" ref="G3:G20" ca="1" si="0">RAND()</f>
        <v>0.98601071299618592</v>
      </c>
      <c r="H3">
        <f t="shared" ref="H3:H19" si="1">IF(TRIM(E3)="Tamam", 1, 0)</f>
        <v>1</v>
      </c>
    </row>
    <row r="4" spans="1:8" x14ac:dyDescent="0.2">
      <c r="A4" s="3" t="s">
        <v>8</v>
      </c>
      <c r="B4" s="3" t="s">
        <v>24</v>
      </c>
      <c r="C4" s="3" t="s">
        <v>29</v>
      </c>
      <c r="D4" s="3" t="s">
        <v>46</v>
      </c>
      <c r="E4" s="3" t="s">
        <v>58</v>
      </c>
      <c r="F4" s="3" t="s">
        <v>60</v>
      </c>
      <c r="G4" s="3">
        <f t="shared" ca="1" si="0"/>
        <v>0.28389152972672438</v>
      </c>
      <c r="H4">
        <f t="shared" si="1"/>
        <v>0</v>
      </c>
    </row>
    <row r="5" spans="1:8" x14ac:dyDescent="0.2">
      <c r="A5" s="3" t="s">
        <v>9</v>
      </c>
      <c r="B5" s="3" t="s">
        <v>26</v>
      </c>
      <c r="C5" s="3" t="s">
        <v>30</v>
      </c>
      <c r="D5" s="3" t="s">
        <v>47</v>
      </c>
      <c r="E5" s="3" t="s">
        <v>56</v>
      </c>
      <c r="F5" s="3" t="s">
        <v>59</v>
      </c>
      <c r="G5" s="3">
        <f t="shared" ca="1" si="0"/>
        <v>0.7182255818144706</v>
      </c>
      <c r="H5">
        <f t="shared" si="1"/>
        <v>1</v>
      </c>
    </row>
    <row r="6" spans="1:8" x14ac:dyDescent="0.2">
      <c r="A6" t="s">
        <v>10</v>
      </c>
      <c r="B6" t="s">
        <v>25</v>
      </c>
      <c r="C6" t="s">
        <v>31</v>
      </c>
      <c r="D6" t="s">
        <v>48</v>
      </c>
      <c r="E6" t="s">
        <v>56</v>
      </c>
      <c r="F6" t="s">
        <v>59</v>
      </c>
      <c r="G6" s="6">
        <f t="shared" ca="1" si="0"/>
        <v>0.936294355074623</v>
      </c>
      <c r="H6">
        <f t="shared" si="1"/>
        <v>1</v>
      </c>
    </row>
    <row r="7" spans="1:8" x14ac:dyDescent="0.2">
      <c r="A7" t="s">
        <v>11</v>
      </c>
      <c r="B7" t="s">
        <v>25</v>
      </c>
      <c r="C7" t="s">
        <v>32</v>
      </c>
      <c r="D7" t="s">
        <v>49</v>
      </c>
      <c r="E7" t="s">
        <v>57</v>
      </c>
      <c r="F7" t="s">
        <v>59</v>
      </c>
      <c r="G7" s="6">
        <f t="shared" ca="1" si="0"/>
        <v>0.19981096915588692</v>
      </c>
      <c r="H7">
        <f t="shared" si="1"/>
        <v>1</v>
      </c>
    </row>
    <row r="8" spans="1:8" x14ac:dyDescent="0.2">
      <c r="A8" t="s">
        <v>12</v>
      </c>
      <c r="B8" t="s">
        <v>26</v>
      </c>
      <c r="C8" t="s">
        <v>33</v>
      </c>
      <c r="D8" t="s">
        <v>50</v>
      </c>
      <c r="E8" t="s">
        <v>58</v>
      </c>
      <c r="F8" t="s">
        <v>60</v>
      </c>
      <c r="G8" s="6">
        <f t="shared" ca="1" si="0"/>
        <v>0.37044348274380445</v>
      </c>
      <c r="H8">
        <f t="shared" si="1"/>
        <v>0</v>
      </c>
    </row>
    <row r="9" spans="1:8" x14ac:dyDescent="0.2">
      <c r="A9" t="s">
        <v>13</v>
      </c>
      <c r="B9" t="s">
        <v>25</v>
      </c>
      <c r="C9" t="s">
        <v>34</v>
      </c>
      <c r="D9" t="s">
        <v>51</v>
      </c>
      <c r="E9" t="s">
        <v>58</v>
      </c>
      <c r="F9" t="s">
        <v>60</v>
      </c>
      <c r="G9" s="6">
        <f t="shared" ca="1" si="0"/>
        <v>0.97002656946117916</v>
      </c>
      <c r="H9">
        <f t="shared" si="1"/>
        <v>0</v>
      </c>
    </row>
    <row r="10" spans="1:8" x14ac:dyDescent="0.2">
      <c r="A10" t="s">
        <v>14</v>
      </c>
      <c r="B10" t="s">
        <v>24</v>
      </c>
      <c r="C10" t="s">
        <v>35</v>
      </c>
      <c r="D10" t="s">
        <v>52</v>
      </c>
      <c r="E10" t="s">
        <v>58</v>
      </c>
      <c r="F10" t="s">
        <v>60</v>
      </c>
      <c r="G10" s="6">
        <f t="shared" ca="1" si="0"/>
        <v>0.99373890173582891</v>
      </c>
      <c r="H10">
        <f t="shared" si="1"/>
        <v>0</v>
      </c>
    </row>
    <row r="11" spans="1:8" x14ac:dyDescent="0.2">
      <c r="A11" t="s">
        <v>15</v>
      </c>
      <c r="B11" t="s">
        <v>26</v>
      </c>
      <c r="C11" t="s">
        <v>36</v>
      </c>
      <c r="D11" t="s">
        <v>53</v>
      </c>
      <c r="E11" t="s">
        <v>56</v>
      </c>
      <c r="F11" t="s">
        <v>59</v>
      </c>
      <c r="G11" s="6">
        <f t="shared" ca="1" si="0"/>
        <v>0.12463957852651586</v>
      </c>
      <c r="H11">
        <f t="shared" si="1"/>
        <v>1</v>
      </c>
    </row>
    <row r="12" spans="1:8" x14ac:dyDescent="0.2">
      <c r="A12" t="s">
        <v>16</v>
      </c>
      <c r="B12" t="s">
        <v>24</v>
      </c>
      <c r="C12" t="s">
        <v>37</v>
      </c>
      <c r="D12" t="s">
        <v>49</v>
      </c>
      <c r="E12" t="s">
        <v>56</v>
      </c>
      <c r="F12" t="s">
        <v>60</v>
      </c>
      <c r="G12" s="6">
        <f t="shared" ca="1" si="0"/>
        <v>0.91459299691267515</v>
      </c>
      <c r="H12">
        <f t="shared" si="1"/>
        <v>1</v>
      </c>
    </row>
    <row r="13" spans="1:8" x14ac:dyDescent="0.2">
      <c r="A13" t="s">
        <v>17</v>
      </c>
      <c r="B13" t="s">
        <v>25</v>
      </c>
      <c r="C13" t="s">
        <v>38</v>
      </c>
      <c r="D13" t="s">
        <v>54</v>
      </c>
      <c r="E13" t="s">
        <v>58</v>
      </c>
      <c r="F13" t="s">
        <v>60</v>
      </c>
      <c r="G13" s="6">
        <f t="shared" ca="1" si="0"/>
        <v>0.50891068302551079</v>
      </c>
      <c r="H13">
        <f t="shared" si="1"/>
        <v>0</v>
      </c>
    </row>
    <row r="14" spans="1:8" x14ac:dyDescent="0.2">
      <c r="A14" t="s">
        <v>18</v>
      </c>
      <c r="B14" t="s">
        <v>26</v>
      </c>
      <c r="C14" t="s">
        <v>39</v>
      </c>
      <c r="D14" t="s">
        <v>49</v>
      </c>
      <c r="E14" t="s">
        <v>56</v>
      </c>
      <c r="F14" t="s">
        <v>59</v>
      </c>
      <c r="G14" s="6">
        <f t="shared" ca="1" si="0"/>
        <v>0.24812602843427567</v>
      </c>
      <c r="H14">
        <f t="shared" si="1"/>
        <v>1</v>
      </c>
    </row>
    <row r="15" spans="1:8" x14ac:dyDescent="0.2">
      <c r="A15" t="s">
        <v>19</v>
      </c>
      <c r="B15" t="s">
        <v>24</v>
      </c>
      <c r="C15" t="s">
        <v>27</v>
      </c>
      <c r="D15" t="s">
        <v>49</v>
      </c>
      <c r="E15" t="s">
        <v>56</v>
      </c>
      <c r="F15" t="s">
        <v>59</v>
      </c>
      <c r="G15" s="6">
        <f t="shared" ca="1" si="0"/>
        <v>0.76593477984657232</v>
      </c>
      <c r="H15">
        <f t="shared" si="1"/>
        <v>1</v>
      </c>
    </row>
    <row r="16" spans="1:8" x14ac:dyDescent="0.2">
      <c r="A16" t="s">
        <v>20</v>
      </c>
      <c r="B16" t="s">
        <v>25</v>
      </c>
      <c r="C16" t="s">
        <v>40</v>
      </c>
      <c r="D16" t="s">
        <v>49</v>
      </c>
      <c r="E16" t="s">
        <v>56</v>
      </c>
      <c r="F16" t="s">
        <v>59</v>
      </c>
      <c r="G16" s="6">
        <f t="shared" ca="1" si="0"/>
        <v>0.36543843312239477</v>
      </c>
      <c r="H16">
        <f t="shared" si="1"/>
        <v>1</v>
      </c>
    </row>
    <row r="17" spans="1:8" x14ac:dyDescent="0.2">
      <c r="A17" t="s">
        <v>21</v>
      </c>
      <c r="B17" t="s">
        <v>26</v>
      </c>
      <c r="C17" t="s">
        <v>41</v>
      </c>
      <c r="D17" t="s">
        <v>49</v>
      </c>
      <c r="E17" t="s">
        <v>56</v>
      </c>
      <c r="F17" t="s">
        <v>59</v>
      </c>
      <c r="G17" s="6">
        <f t="shared" ca="1" si="0"/>
        <v>0.97310527560174642</v>
      </c>
      <c r="H17">
        <f t="shared" si="1"/>
        <v>1</v>
      </c>
    </row>
    <row r="18" spans="1:8" x14ac:dyDescent="0.2">
      <c r="A18" t="s">
        <v>22</v>
      </c>
      <c r="B18" t="s">
        <v>26</v>
      </c>
      <c r="C18" t="s">
        <v>42</v>
      </c>
      <c r="D18" t="s">
        <v>49</v>
      </c>
      <c r="E18" t="s">
        <v>56</v>
      </c>
      <c r="F18" t="s">
        <v>59</v>
      </c>
      <c r="G18" s="6">
        <f t="shared" ca="1" si="0"/>
        <v>4.874845375924719E-2</v>
      </c>
      <c r="H18">
        <f t="shared" si="1"/>
        <v>1</v>
      </c>
    </row>
    <row r="19" spans="1:8" x14ac:dyDescent="0.2">
      <c r="A19" t="s">
        <v>23</v>
      </c>
      <c r="B19" t="s">
        <v>24</v>
      </c>
      <c r="C19" t="s">
        <v>43</v>
      </c>
      <c r="D19" t="s">
        <v>55</v>
      </c>
      <c r="E19" t="s">
        <v>56</v>
      </c>
      <c r="F19" t="s">
        <v>59</v>
      </c>
      <c r="G19" s="6">
        <f t="shared" ca="1" si="0"/>
        <v>0.91170386190405184</v>
      </c>
      <c r="H19">
        <f t="shared" si="1"/>
        <v>1</v>
      </c>
    </row>
    <row r="20" spans="1:8" x14ac:dyDescent="0.2">
      <c r="G20" s="6"/>
      <c r="H20">
        <f>AVERAGE(H2:H19)</f>
        <v>0.72222222222222221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İlayda ÇAL</dc:creator>
  <dcterms:created xsi:type="dcterms:W3CDTF">2026-03-13T16:10:52Z</dcterms:created>
</cp:coreProperties>
</file>